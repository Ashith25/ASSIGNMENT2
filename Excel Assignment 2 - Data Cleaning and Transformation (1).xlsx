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hith\Downloads\"/>
    </mc:Choice>
  </mc:AlternateContent>
  <xr:revisionPtr revIDLastSave="0" documentId="8_{D72F252A-F9CC-4A74-80CF-6750FC2B86E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structions" sheetId="1" r:id="rId1"/>
    <sheet name="Dataset" sheetId="2" r:id="rId2"/>
    <sheet name="Sheet2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4" l="1"/>
  <c r="Q2" i="4"/>
  <c r="Q4" i="4"/>
  <c r="K37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2" i="4"/>
  <c r="K31" i="4"/>
  <c r="K32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</calcChain>
</file>

<file path=xl/sharedStrings.xml><?xml version="1.0" encoding="utf-8"?>
<sst xmlns="http://schemas.openxmlformats.org/spreadsheetml/2006/main" count="386" uniqueCount="139">
  <si>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</si>
  <si>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</si>
  <si>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</si>
  <si>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</si>
  <si>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</si>
  <si>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</si>
  <si>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</si>
  <si>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</si>
  <si>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</si>
  <si>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</si>
  <si>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</si>
  <si>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</si>
  <si>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</si>
  <si>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</si>
  <si>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</si>
  <si>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</si>
  <si>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</si>
  <si>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</si>
  <si>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</si>
  <si>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</si>
  <si>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</si>
  <si>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</si>
  <si>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</si>
  <si>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</si>
  <si>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</si>
  <si>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</si>
  <si>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</si>
  <si>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</si>
  <si>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</si>
  <si>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</si>
  <si>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</si>
  <si>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</si>
  <si>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</si>
  <si>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</si>
  <si>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</si>
  <si>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</si>
  <si>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</si>
  <si>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</si>
  <si>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</si>
  <si>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</si>
  <si>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</si>
  <si>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</si>
  <si>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</si>
  <si>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</si>
  <si>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</si>
  <si>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</si>
  <si>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</si>
  <si>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</si>
  <si>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</si>
  <si>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</si>
  <si>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</si>
  <si>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</si>
  <si>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</si>
  <si>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</si>
  <si>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</si>
  <si>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</si>
  <si>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</si>
  <si>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</si>
  <si>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</si>
  <si>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</si>
  <si>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</si>
  <si>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</si>
  <si>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</si>
  <si>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</si>
  <si>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</si>
  <si>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</si>
  <si>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</si>
  <si>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</si>
  <si>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</si>
  <si>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</si>
  <si>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</si>
  <si>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</si>
  <si>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</si>
  <si>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</si>
  <si>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</si>
  <si>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</si>
  <si>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</si>
  <si>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</si>
  <si>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</si>
  <si>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</si>
  <si>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</si>
  <si>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</si>
  <si>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</si>
  <si>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</si>
  <si>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</si>
  <si>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</si>
  <si>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</si>
  <si>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</si>
  <si>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</si>
  <si>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</si>
  <si>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</si>
  <si>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</si>
  <si>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</si>
  <si>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</si>
  <si>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</si>
  <si>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</si>
  <si>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</si>
  <si>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</si>
  <si>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</si>
  <si>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</si>
  <si>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</si>
  <si>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</si>
  <si>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</si>
  <si>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</si>
  <si>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</si>
  <si>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</si>
  <si>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</si>
  <si>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</si>
  <si>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</si>
  <si>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</si>
  <si>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</si>
  <si>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</si>
  <si>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</si>
  <si>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</si>
  <si>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</si>
  <si>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</si>
  <si>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category crted</t>
  </si>
  <si>
    <t>product name</t>
  </si>
  <si>
    <t>unkonwn</t>
  </si>
  <si>
    <t>T-Shirt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</si>
  <si>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</si>
  <si>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</si>
  <si>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</si>
  <si>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</si>
  <si>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</si>
  <si>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</si>
  <si>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</si>
  <si>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</si>
  <si>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</si>
  <si>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</si>
  <si>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</si>
  <si>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</si>
  <si>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</si>
  <si>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median</t>
  </si>
  <si>
    <t>Price corrected</t>
  </si>
  <si>
    <t>PRICE</t>
  </si>
  <si>
    <t>Date</t>
  </si>
  <si>
    <t xml:space="preserve"> Manufacturing date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</si>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</sst>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2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center"/>
    </xf>
    <xf numFmtId="164" fontId="0" fillId="0" borderId="0" xfId="0" applyNumberFormat="1" applyFont="1" applyAlignment="1"/>
    <xf numFmtId="164" fontId="8" fillId="0" borderId="0" xfId="0" applyNumberFormat="1" applyFont="1" applyAlignment="1"/>
    <xf numFmtId="14" fontId="0" fillId="0" borderId="0" xfId="0" applyNumberFormat="1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4" borderId="0" xfId="0" applyFont="1" applyFill="1" applyAlignment="1"/>
    <xf numFmtId="0" fontId="13" fillId="4" borderId="0" xfId="0" applyFont="1" applyFill="1" applyAlignmen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DF433-F517-427C-9B07-C05FD250A0EA}" name="Table1" displayName="Table1" ref="A1:F32" totalsRowShown="0">
  <autoFilter ref="A1:F32" xr:uid="{501DF433-F517-427C-9B07-C05FD250A0EA}"/>
  <tableColumns count="6">
    <tableColumn id="1" xr3:uid="{FAB76C6E-2C3A-40C1-9A71-BC588A9EC415}" name="Product ID"/>
    <tableColumn id="2" xr3:uid="{31F05590-18FF-40A6-885B-E45EDB966DFF}" name="Product Name"/>
    <tableColumn id="3" xr3:uid="{A2D39EC2-527A-4C27-B3FA-36B683EA5E46}" name="Brand Name"/>
    <tableColumn id="4" xr3:uid="{BE158253-E775-47FD-8E8C-7D14391341D9}" name="PRICE"/>
    <tableColumn id="5" xr3:uid="{A92E92B2-0667-4DEF-9115-4B512ABF8425}" name="Quantity"/>
    <tableColumn id="6" xr3:uid="{3B1FFED9-0657-4106-8253-9A515BFA5275}" name="Category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95E812-E0B7-47A2-BDA7-11C353FF46F8}" name="Table2" displayName="Table2" ref="I1:Q32" totalsRowShown="0">
  <autoFilter ref="I1:Q32" xr:uid="{2895E812-E0B7-47A2-BDA7-11C353FF46F8}"/>
  <tableColumns count="9">
    <tableColumn id="1" xr3:uid="{5A0EA047-DBE1-4CE8-AB8A-E6D4A3EA06B6}" name=" Manufacturing date"/>
    <tableColumn id="2" xr3:uid="{8054D269-62EE-4875-B3BB-B90805089923}" name="Country code"/>
    <tableColumn id="3" xr3:uid="{A011D3E7-9A3B-4835-898F-DED95538BEF1}" name="Date" dataDxfId="3">
      <calculatedColumnFormula>DATE(2026,MONTH(MID(Sheet2!A2,4,3)&amp;"1"),LEFT(Sheet2!A2,2))</calculatedColumnFormula>
    </tableColumn>
    <tableColumn id="4" xr3:uid="{48F2AF20-07C5-4909-B699-2177453E415D}" name="PRICE">
      <calculatedColumnFormula xml:space="preserve"> ISBLANK(Table1[[#This Row],[PRICE]])</calculatedColumnFormula>
    </tableColumn>
    <tableColumn id="5" xr3:uid="{A71F92DB-F94A-465B-A246-B77E3982A7FC}" name="product name"/>
    <tableColumn id="6" xr3:uid="{15C8F132-9814-4950-88CF-6B895CDBAEBB}" name="product brand">
      <calculatedColumnFormula>CONCATENATE(C2," ",M2)</calculatedColumnFormula>
    </tableColumn>
    <tableColumn id="7" xr3:uid="{5BD2354D-B11B-4135-A732-FCFDEE522F81}" name="category crted"/>
    <tableColumn id="8" xr3:uid="{3ECB9AE5-27EB-48AD-9B61-F3EEA30E52E7}" name="Price ($)" dataDxfId="2"/>
    <tableColumn id="9" xr3:uid="{D9F8A2AA-ECF3-4B89-8CF9-07BF8F42C7A5}" name="Price corrected">
      <calculatedColumnFormula>IF(ISBLANK(Table1[[#This Row],[PRICE]]),MEDIAN(Table1[PRICE]),Table1[[#This Row],[PRICE]])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E30" sqref="E30"/>
    </sheetView>
  </sheetViews>
  <sheetFormatPr defaultColWidth="12.5546875" defaultRowHeight="15" customHeight="1" x14ac:dyDescent="0.25"/>
  <cols>
    <col min="1" max="1" width="12.5546875" customWidth="1"/>
    <col min="2" max="2" width="7.44140625" customWidth="1"/>
    <col min="3" max="6" width="12.554687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80" zoomScaleNormal="80" workbookViewId="0">
      <selection sqref="A1:XFD1048576"/>
    </sheetView>
  </sheetViews>
  <sheetFormatPr defaultColWidth="12.5546875" defaultRowHeight="15" customHeight="1" x14ac:dyDescent="0.25"/>
  <cols>
    <col min="1" max="1" width="12.5546875" customWidth="1"/>
    <col min="2" max="2" width="15.109375" bestFit="1" customWidth="1"/>
    <col min="3" max="3" width="13" bestFit="1" customWidth="1"/>
    <col min="4" max="4" width="9.33203125" bestFit="1" customWidth="1"/>
    <col min="5" max="6" width="12.554687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39B9-2932-4D81-818F-B83A8B0A2B5B}">
  <dimension ref="A1:Q37"/>
  <sheetViews>
    <sheetView tabSelected="1" zoomScale="80" zoomScaleNormal="80" workbookViewId="0">
      <selection activeCell="Q3" sqref="Q3"/>
    </sheetView>
  </sheetViews>
  <sheetFormatPr defaultRowHeight="13.2" x14ac:dyDescent="0.25"/>
  <cols>
    <col min="1" max="1" width="15.6640625" customWidth="1"/>
    <col min="2" max="2" width="20.6640625" customWidth="1"/>
    <col min="3" max="3" width="13.5546875" customWidth="1"/>
    <col min="4" max="4" width="11.88671875" customWidth="1"/>
    <col min="5" max="5" width="10.109375" customWidth="1"/>
    <col min="6" max="6" width="11.33203125" bestFit="1" customWidth="1"/>
    <col min="9" max="9" width="22.21875" bestFit="1" customWidth="1"/>
    <col min="10" max="10" width="17.33203125" bestFit="1" customWidth="1"/>
    <col min="11" max="11" width="11" bestFit="1" customWidth="1"/>
    <col min="12" max="12" width="12.109375" bestFit="1" customWidth="1"/>
    <col min="13" max="13" width="19.109375" customWidth="1"/>
    <col min="14" max="14" width="21.44140625" customWidth="1"/>
    <col min="15" max="15" width="20" customWidth="1"/>
    <col min="16" max="16" width="13.6640625" customWidth="1"/>
    <col min="17" max="17" width="17" style="14" customWidth="1"/>
  </cols>
  <sheetData>
    <row r="1" spans="1:17" x14ac:dyDescent="0.25">
      <c r="A1" t="s">
        <v>19</v>
      </c>
      <c r="B1" t="s">
        <v>20</v>
      </c>
      <c r="C1" t="s">
        <v>21</v>
      </c>
      <c r="D1" t="s">
        <v>135</v>
      </c>
      <c r="E1" t="s">
        <v>23</v>
      </c>
      <c r="F1" t="s">
        <v>24</v>
      </c>
      <c r="I1" s="19" t="s">
        <v>137</v>
      </c>
      <c r="J1" s="18" t="s">
        <v>138</v>
      </c>
      <c r="K1" s="12" t="s">
        <v>136</v>
      </c>
      <c r="L1" s="13" t="s">
        <v>135</v>
      </c>
      <c r="M1" s="13" t="s">
        <v>117</v>
      </c>
      <c r="N1" s="12" t="s">
        <v>132</v>
      </c>
      <c r="O1" s="13" t="s">
        <v>116</v>
      </c>
      <c r="P1" s="15" t="s">
        <v>22</v>
      </c>
      <c r="Q1" s="15" t="s">
        <v>134</v>
      </c>
    </row>
    <row r="2" spans="1:17" x14ac:dyDescent="0.25">
      <c r="A2" t="s">
        <v>25</v>
      </c>
      <c r="B2" t="s">
        <v>26</v>
      </c>
      <c r="C2" t="s">
        <v>27</v>
      </c>
      <c r="D2">
        <v>1000</v>
      </c>
      <c r="E2">
        <v>30</v>
      </c>
      <c r="F2" t="s">
        <v>28</v>
      </c>
      <c r="I2">
        <v>28</v>
      </c>
      <c r="J2" t="s">
        <v>120</v>
      </c>
      <c r="K2" s="16">
        <f>DATE(2026,MONTH(MID(Sheet2!A2,4,3)&amp;"1"),LEFT(Sheet2!A2,2))</f>
        <v>46050</v>
      </c>
      <c r="L2" t="b">
        <f xml:space="preserve"> ISBLANK(Table1[[#This Row],[PRICE]])</f>
        <v>0</v>
      </c>
      <c r="M2" t="s">
        <v>61</v>
      </c>
      <c r="N2" t="str">
        <f t="shared" ref="N2:N32" si="0">CONCATENATE(C2," ",M2)</f>
        <v>Dell Laptop</v>
      </c>
      <c r="O2" t="s">
        <v>28</v>
      </c>
      <c r="P2" s="14">
        <v>1000</v>
      </c>
      <c r="Q2">
        <f>IF(ISBLANK(Table1[[#This Row],[PRICE]]),MEDIAN(Table1[PRICE]),Table1[[#This Row],[PRICE]])</f>
        <v>1000</v>
      </c>
    </row>
    <row r="3" spans="1:17" x14ac:dyDescent="0.25">
      <c r="A3" t="s">
        <v>29</v>
      </c>
      <c r="B3" t="s">
        <v>30</v>
      </c>
      <c r="C3" t="s">
        <v>31</v>
      </c>
      <c r="D3">
        <v>80</v>
      </c>
      <c r="E3">
        <v>15</v>
      </c>
      <c r="F3" t="s">
        <v>32</v>
      </c>
      <c r="I3">
        <v>15</v>
      </c>
      <c r="J3" t="s">
        <v>120</v>
      </c>
      <c r="K3" s="16">
        <f>DATE(2026,MONTH(MID(Sheet2!A3,4,3)&amp;"1"),LEFT(Sheet2!A3,2))</f>
        <v>46068</v>
      </c>
      <c r="L3" t="b">
        <f xml:space="preserve"> ISBLANK(Table1[[#This Row],[PRICE]])</f>
        <v>0</v>
      </c>
      <c r="M3" t="s">
        <v>30</v>
      </c>
      <c r="N3" t="str">
        <f t="shared" si="0"/>
        <v>Nike Sneakers</v>
      </c>
      <c r="O3" t="s">
        <v>32</v>
      </c>
      <c r="P3" s="14">
        <v>80</v>
      </c>
      <c r="Q3">
        <f>IF(ISBLANK(Table1[[#This Row],[PRICE]]),MEDIAN(Table1[PRICE]),Table1[[#This Row],[PRICE]])</f>
        <v>80</v>
      </c>
    </row>
    <row r="4" spans="1:17" x14ac:dyDescent="0.25">
      <c r="A4" t="s">
        <v>33</v>
      </c>
      <c r="B4" t="s">
        <v>34</v>
      </c>
      <c r="C4" t="s">
        <v>35</v>
      </c>
      <c r="D4">
        <v>130</v>
      </c>
      <c r="E4">
        <v>40</v>
      </c>
      <c r="F4" t="s">
        <v>36</v>
      </c>
      <c r="I4" s="17">
        <v>3</v>
      </c>
      <c r="J4" t="s">
        <v>120</v>
      </c>
      <c r="K4" s="16">
        <f>DATE(2026,MONTH(MID(Sheet2!A4,4,3)&amp;"1"),LEFT(Sheet2!A4,2))</f>
        <v>46084</v>
      </c>
      <c r="L4" t="b">
        <f xml:space="preserve"> ISBLANK(Table1[[#This Row],[PRICE]])</f>
        <v>0</v>
      </c>
      <c r="M4" t="s">
        <v>34</v>
      </c>
      <c r="N4" t="str">
        <f t="shared" si="0"/>
        <v>Keurig Coffee Maker</v>
      </c>
      <c r="O4" t="s">
        <v>36</v>
      </c>
      <c r="P4" s="14">
        <v>130</v>
      </c>
      <c r="Q4">
        <f>IF(ISBLANK(Table1[[#This Row],[PRICE]]),MEDIAN(Table1[PRICE]),Table1[[#This Row],[PRICE]])</f>
        <v>130</v>
      </c>
    </row>
    <row r="5" spans="1:17" x14ac:dyDescent="0.25">
      <c r="A5" t="s">
        <v>37</v>
      </c>
      <c r="B5" t="s">
        <v>38</v>
      </c>
      <c r="C5" t="s">
        <v>39</v>
      </c>
      <c r="D5">
        <v>900</v>
      </c>
      <c r="E5">
        <v>25</v>
      </c>
      <c r="F5" t="s">
        <v>28</v>
      </c>
      <c r="I5">
        <v>11</v>
      </c>
      <c r="J5" t="s">
        <v>120</v>
      </c>
      <c r="K5" s="16">
        <f>DATE(2026,MONTH(MID(Sheet2!A5,4,3)&amp;"1"),LEFT(Sheet2!A5,2))</f>
        <v>46123</v>
      </c>
      <c r="L5" t="b">
        <f xml:space="preserve"> ISBLANK(Table1[[#This Row],[PRICE]])</f>
        <v>0</v>
      </c>
      <c r="M5" t="s">
        <v>96</v>
      </c>
      <c r="N5" t="str">
        <f t="shared" si="0"/>
        <v>Samsung Smartphone</v>
      </c>
      <c r="O5" t="s">
        <v>28</v>
      </c>
      <c r="P5" s="14">
        <v>900</v>
      </c>
      <c r="Q5">
        <f>IF(ISBLANK(Table1[[#This Row],[PRICE]]),MEDIAN(Table1[PRICE]),Table1[[#This Row],[PRICE]])</f>
        <v>900</v>
      </c>
    </row>
    <row r="6" spans="1:17" x14ac:dyDescent="0.25">
      <c r="A6" t="s">
        <v>40</v>
      </c>
      <c r="B6" t="s">
        <v>41</v>
      </c>
      <c r="C6" t="s">
        <v>42</v>
      </c>
      <c r="D6">
        <v>70</v>
      </c>
      <c r="E6">
        <v>20</v>
      </c>
      <c r="I6">
        <v>22</v>
      </c>
      <c r="J6" t="s">
        <v>120</v>
      </c>
      <c r="K6" s="16">
        <f>DATE(2026,MONTH(MID(Sheet2!A6,4,3)&amp;"1"),LEFT(Sheet2!A6,2))</f>
        <v>46164</v>
      </c>
      <c r="L6" t="b">
        <f xml:space="preserve"> ISBLANK(Table1[[#This Row],[PRICE]])</f>
        <v>0</v>
      </c>
      <c r="M6" t="s">
        <v>41</v>
      </c>
      <c r="N6" t="str">
        <f t="shared" si="0"/>
        <v>North Face Backpack</v>
      </c>
      <c r="O6" t="s">
        <v>118</v>
      </c>
      <c r="P6" s="14">
        <v>70</v>
      </c>
      <c r="Q6">
        <f>IF(ISBLANK(Table1[[#This Row],[PRICE]]),MEDIAN(Table1[PRICE]),Table1[[#This Row],[PRICE]])</f>
        <v>70</v>
      </c>
    </row>
    <row r="7" spans="1:17" x14ac:dyDescent="0.25">
      <c r="A7" t="s">
        <v>43</v>
      </c>
      <c r="B7" t="s">
        <v>44</v>
      </c>
      <c r="C7" t="s">
        <v>45</v>
      </c>
      <c r="E7">
        <v>45</v>
      </c>
      <c r="F7" t="s">
        <v>28</v>
      </c>
      <c r="I7">
        <v>7</v>
      </c>
      <c r="J7" t="s">
        <v>121</v>
      </c>
      <c r="K7" s="16">
        <f>DATE(2026,MONTH(MID(Sheet2!A7,4,3)&amp;"1"),LEFT(Sheet2!A7,2))</f>
        <v>46180</v>
      </c>
      <c r="L7" t="b">
        <f xml:space="preserve"> ISBLANK(Table1[[#This Row],[PRICE]])</f>
        <v>1</v>
      </c>
      <c r="M7" t="s">
        <v>44</v>
      </c>
      <c r="N7" t="str">
        <f t="shared" si="0"/>
        <v>Sony Headphones</v>
      </c>
      <c r="O7" t="s">
        <v>28</v>
      </c>
      <c r="P7" s="14"/>
      <c r="Q7">
        <f>IF(ISBLANK(Table1[[#This Row],[PRICE]]),MEDIAN(Table1[PRICE]),Table1[[#This Row],[PRICE]])</f>
        <v>130</v>
      </c>
    </row>
    <row r="8" spans="1:17" x14ac:dyDescent="0.25">
      <c r="A8" t="s">
        <v>47</v>
      </c>
      <c r="B8" t="s">
        <v>48</v>
      </c>
      <c r="C8" t="s">
        <v>49</v>
      </c>
      <c r="D8">
        <v>30</v>
      </c>
      <c r="E8">
        <v>5</v>
      </c>
      <c r="F8" t="s">
        <v>32</v>
      </c>
      <c r="I8">
        <v>19</v>
      </c>
      <c r="J8" t="s">
        <v>121</v>
      </c>
      <c r="K8" s="16">
        <f>DATE(2026,MONTH(MID(Sheet2!A8,4,3)&amp;"1"),LEFT(Sheet2!A8,2))</f>
        <v>46222</v>
      </c>
      <c r="L8" t="b">
        <f xml:space="preserve"> ISBLANK(Table1[[#This Row],[PRICE]])</f>
        <v>0</v>
      </c>
      <c r="M8" t="s">
        <v>119</v>
      </c>
      <c r="N8" t="str">
        <f t="shared" si="0"/>
        <v>Adidas T-Shirt</v>
      </c>
      <c r="O8" t="s">
        <v>32</v>
      </c>
      <c r="P8" s="14">
        <v>30</v>
      </c>
      <c r="Q8">
        <f>IF(ISBLANK(Table1[[#This Row],[PRICE]]),MEDIAN(Table1[PRICE]),Table1[[#This Row],[PRICE]])</f>
        <v>30</v>
      </c>
    </row>
    <row r="9" spans="1:17" x14ac:dyDescent="0.25">
      <c r="A9" t="s">
        <v>50</v>
      </c>
      <c r="B9" t="s">
        <v>51</v>
      </c>
      <c r="C9" t="s">
        <v>52</v>
      </c>
      <c r="D9">
        <v>90</v>
      </c>
      <c r="E9">
        <v>35</v>
      </c>
      <c r="F9" t="s">
        <v>36</v>
      </c>
      <c r="I9">
        <v>23</v>
      </c>
      <c r="J9" t="s">
        <v>121</v>
      </c>
      <c r="K9" s="16">
        <f>DATE(2026,MONTH(MID(Sheet2!A9,4,3)&amp;"1"),LEFT(Sheet2!A9,2))</f>
        <v>46257</v>
      </c>
      <c r="L9" t="b">
        <f xml:space="preserve"> ISBLANK(Table1[[#This Row],[PRICE]])</f>
        <v>0</v>
      </c>
      <c r="M9" t="s">
        <v>51</v>
      </c>
      <c r="N9" t="str">
        <f t="shared" si="0"/>
        <v>Ninja Blender</v>
      </c>
      <c r="O9" t="s">
        <v>36</v>
      </c>
      <c r="P9" s="14">
        <v>90</v>
      </c>
      <c r="Q9">
        <f>IF(ISBLANK(Table1[[#This Row],[PRICE]]),MEDIAN(Table1[PRICE]),Table1[[#This Row],[PRICE]])</f>
        <v>90</v>
      </c>
    </row>
    <row r="10" spans="1:17" x14ac:dyDescent="0.25">
      <c r="A10" t="s">
        <v>53</v>
      </c>
      <c r="B10" t="s">
        <v>54</v>
      </c>
      <c r="C10" t="s">
        <v>55</v>
      </c>
      <c r="D10">
        <v>500</v>
      </c>
      <c r="E10">
        <v>50</v>
      </c>
      <c r="F10" t="s">
        <v>28</v>
      </c>
      <c r="I10">
        <v>5</v>
      </c>
      <c r="J10" t="s">
        <v>121</v>
      </c>
      <c r="K10" s="16">
        <f>DATE(2026,MONTH(MID(Sheet2!A10,4,3)&amp;"1"),LEFT(Sheet2!A10,2))</f>
        <v>46270</v>
      </c>
      <c r="L10" t="b">
        <f xml:space="preserve"> ISBLANK(Table1[[#This Row],[PRICE]])</f>
        <v>0</v>
      </c>
      <c r="M10" t="s">
        <v>54</v>
      </c>
      <c r="N10" t="str">
        <f t="shared" si="0"/>
        <v>Apple Tablet</v>
      </c>
      <c r="O10" t="s">
        <v>28</v>
      </c>
      <c r="P10" s="14">
        <v>500</v>
      </c>
      <c r="Q10">
        <f>IF(ISBLANK(Table1[[#This Row],[PRICE]]),MEDIAN(Table1[PRICE]),Table1[[#This Row],[PRICE]])</f>
        <v>500</v>
      </c>
    </row>
    <row r="11" spans="1:17" x14ac:dyDescent="0.25">
      <c r="A11" t="s">
        <v>56</v>
      </c>
      <c r="B11" t="s">
        <v>57</v>
      </c>
      <c r="C11" t="s">
        <v>58</v>
      </c>
      <c r="D11">
        <v>130</v>
      </c>
      <c r="E11">
        <v>10</v>
      </c>
      <c r="F11" t="s">
        <v>59</v>
      </c>
      <c r="I11">
        <v>14</v>
      </c>
      <c r="J11" t="s">
        <v>121</v>
      </c>
      <c r="K11" s="16">
        <f>DATE(2026,MONTH(MID(Sheet2!A11,4,3)&amp;"1"),LEFT(Sheet2!A11,2))</f>
        <v>46309</v>
      </c>
      <c r="L11" t="b">
        <f xml:space="preserve"> ISBLANK(Table1[[#This Row],[PRICE]])</f>
        <v>0</v>
      </c>
      <c r="M11" t="s">
        <v>57</v>
      </c>
      <c r="N11" t="str">
        <f t="shared" si="0"/>
        <v>Timberland Hiking Boots</v>
      </c>
      <c r="O11" t="s">
        <v>59</v>
      </c>
      <c r="P11" s="14">
        <v>130</v>
      </c>
      <c r="Q11">
        <f>IF(ISBLANK(Table1[[#This Row],[PRICE]]),MEDIAN(Table1[PRICE]),Table1[[#This Row],[PRICE]])</f>
        <v>130</v>
      </c>
    </row>
    <row r="12" spans="1:17" x14ac:dyDescent="0.25">
      <c r="A12" t="s">
        <v>60</v>
      </c>
      <c r="B12" t="s">
        <v>61</v>
      </c>
      <c r="C12" t="s">
        <v>62</v>
      </c>
      <c r="D12">
        <v>950</v>
      </c>
      <c r="E12">
        <v>25</v>
      </c>
      <c r="F12" t="s">
        <v>28</v>
      </c>
      <c r="I12">
        <v>17</v>
      </c>
      <c r="J12" t="s">
        <v>122</v>
      </c>
      <c r="K12" s="16">
        <f>DATE(2026,MONTH(MID(Sheet2!A12,4,3)&amp;"1"),LEFT(Sheet2!A12,2))</f>
        <v>46190</v>
      </c>
      <c r="L12" t="b">
        <f xml:space="preserve"> ISBLANK(Table1[[#This Row],[PRICE]])</f>
        <v>0</v>
      </c>
      <c r="M12" t="s">
        <v>61</v>
      </c>
      <c r="N12" t="str">
        <f t="shared" si="0"/>
        <v>HP Laptop</v>
      </c>
      <c r="O12" t="s">
        <v>28</v>
      </c>
      <c r="P12" s="14">
        <v>950</v>
      </c>
      <c r="Q12">
        <f>IF(ISBLANK(Table1[[#This Row],[PRICE]]),MEDIAN(Table1[PRICE]),Table1[[#This Row],[PRICE]])</f>
        <v>950</v>
      </c>
    </row>
    <row r="13" spans="1:17" x14ac:dyDescent="0.25">
      <c r="A13" t="s">
        <v>63</v>
      </c>
      <c r="B13" t="s">
        <v>30</v>
      </c>
      <c r="C13" t="s">
        <v>49</v>
      </c>
      <c r="D13">
        <v>90</v>
      </c>
      <c r="E13">
        <v>40</v>
      </c>
      <c r="I13">
        <v>25</v>
      </c>
      <c r="J13" t="s">
        <v>123</v>
      </c>
      <c r="K13" s="16">
        <f>DATE(2026,MONTH(MID(Sheet2!A13,4,3)&amp;"1"),LEFT(Sheet2!A13,2))</f>
        <v>46351</v>
      </c>
      <c r="L13" t="b">
        <f xml:space="preserve"> ISBLANK(Table1[[#This Row],[PRICE]])</f>
        <v>0</v>
      </c>
      <c r="M13" t="s">
        <v>30</v>
      </c>
      <c r="N13" t="str">
        <f t="shared" si="0"/>
        <v>Adidas Sneakers</v>
      </c>
      <c r="O13" t="s">
        <v>118</v>
      </c>
      <c r="P13" s="14">
        <v>90</v>
      </c>
      <c r="Q13">
        <f>IF(ISBLANK(Table1[[#This Row],[PRICE]]),MEDIAN(Table1[PRICE]),Table1[[#This Row],[PRICE]])</f>
        <v>90</v>
      </c>
    </row>
    <row r="14" spans="1:17" x14ac:dyDescent="0.25">
      <c r="A14" t="s">
        <v>64</v>
      </c>
      <c r="B14" t="s">
        <v>34</v>
      </c>
      <c r="C14" t="s">
        <v>65</v>
      </c>
      <c r="D14">
        <v>120</v>
      </c>
      <c r="E14">
        <v>35</v>
      </c>
      <c r="I14">
        <v>8</v>
      </c>
      <c r="J14" t="s">
        <v>124</v>
      </c>
      <c r="K14" s="16">
        <f>DATE(2026,MONTH(MID(Sheet2!A14,4,3)&amp;"1"),LEFT(Sheet2!A14,2))</f>
        <v>46364</v>
      </c>
      <c r="L14" t="b">
        <f xml:space="preserve"> ISBLANK(Table1[[#This Row],[PRICE]])</f>
        <v>0</v>
      </c>
      <c r="M14" t="s">
        <v>34</v>
      </c>
      <c r="N14" t="str">
        <f t="shared" si="0"/>
        <v>Nespresso Coffee Maker</v>
      </c>
      <c r="O14" t="s">
        <v>118</v>
      </c>
      <c r="P14" s="14">
        <v>120</v>
      </c>
      <c r="Q14">
        <f>IF(ISBLANK(Table1[[#This Row],[PRICE]]),MEDIAN(Table1[PRICE]),Table1[[#This Row],[PRICE]])</f>
        <v>120</v>
      </c>
    </row>
    <row r="15" spans="1:17" x14ac:dyDescent="0.25">
      <c r="A15" t="s">
        <v>66</v>
      </c>
      <c r="B15" t="s">
        <v>67</v>
      </c>
      <c r="C15" t="s">
        <v>68</v>
      </c>
      <c r="D15">
        <v>150</v>
      </c>
      <c r="E15">
        <v>15</v>
      </c>
      <c r="F15" t="s">
        <v>28</v>
      </c>
      <c r="I15">
        <v>18</v>
      </c>
      <c r="J15" t="s">
        <v>125</v>
      </c>
      <c r="K15" s="16">
        <f>DATE(2026,MONTH(MID(Sheet2!A15,4,3)&amp;"1"),LEFT(Sheet2!A15,2))</f>
        <v>46071</v>
      </c>
      <c r="L15" t="b">
        <f xml:space="preserve"> ISBLANK(Table1[[#This Row],[PRICE]])</f>
        <v>0</v>
      </c>
      <c r="M15" t="s">
        <v>67</v>
      </c>
      <c r="N15" t="str">
        <f t="shared" si="0"/>
        <v>Fitbit Smartwatch</v>
      </c>
      <c r="O15" t="s">
        <v>28</v>
      </c>
      <c r="P15" s="14">
        <v>150</v>
      </c>
      <c r="Q15">
        <f>IF(ISBLANK(Table1[[#This Row],[PRICE]]),MEDIAN(Table1[PRICE]),Table1[[#This Row],[PRICE]])</f>
        <v>150</v>
      </c>
    </row>
    <row r="16" spans="1:17" x14ac:dyDescent="0.25">
      <c r="A16" t="s">
        <v>69</v>
      </c>
      <c r="B16" t="s">
        <v>70</v>
      </c>
      <c r="C16" t="s">
        <v>71</v>
      </c>
      <c r="D16">
        <v>250</v>
      </c>
      <c r="E16">
        <v>20</v>
      </c>
      <c r="F16" t="s">
        <v>28</v>
      </c>
      <c r="I16">
        <v>16</v>
      </c>
      <c r="J16" t="s">
        <v>126</v>
      </c>
      <c r="K16" s="16">
        <f>DATE(2026,MONTH(MID(Sheet2!A16,4,3)&amp;"1"),LEFT(Sheet2!A16,2))</f>
        <v>46128</v>
      </c>
      <c r="L16" t="b">
        <f xml:space="preserve"> ISBLANK(Table1[[#This Row],[PRICE]])</f>
        <v>0</v>
      </c>
      <c r="M16" t="s">
        <v>44</v>
      </c>
      <c r="N16" t="str">
        <f t="shared" si="0"/>
        <v>Bose Headphones</v>
      </c>
      <c r="O16" t="s">
        <v>28</v>
      </c>
      <c r="P16" s="14">
        <v>250</v>
      </c>
      <c r="Q16">
        <f>IF(ISBLANK(Table1[[#This Row],[PRICE]]),MEDIAN(Table1[PRICE]),Table1[[#This Row],[PRICE]])</f>
        <v>250</v>
      </c>
    </row>
    <row r="17" spans="1:17" x14ac:dyDescent="0.25">
      <c r="A17" t="s">
        <v>72</v>
      </c>
      <c r="B17" t="s">
        <v>73</v>
      </c>
      <c r="C17" t="s">
        <v>74</v>
      </c>
      <c r="D17">
        <v>50</v>
      </c>
      <c r="E17">
        <v>35</v>
      </c>
      <c r="F17" t="s">
        <v>75</v>
      </c>
      <c r="I17">
        <v>21</v>
      </c>
      <c r="J17" t="s">
        <v>125</v>
      </c>
      <c r="K17" s="16">
        <f>DATE(2026,MONTH(MID(Sheet2!A17,4,3)&amp;"1"),LEFT(Sheet2!A17,2))</f>
        <v>46255</v>
      </c>
      <c r="L17" t="b">
        <f xml:space="preserve"> ISBLANK(Table1[[#This Row],[PRICE]])</f>
        <v>0</v>
      </c>
      <c r="M17" t="s">
        <v>73</v>
      </c>
      <c r="N17" t="str">
        <f t="shared" si="0"/>
        <v>Samsonite Laptop Bag</v>
      </c>
      <c r="O17" t="s">
        <v>75</v>
      </c>
      <c r="P17" s="14">
        <v>50</v>
      </c>
      <c r="Q17">
        <f>IF(ISBLANK(Table1[[#This Row],[PRICE]]),MEDIAN(Table1[PRICE]),Table1[[#This Row],[PRICE]])</f>
        <v>50</v>
      </c>
    </row>
    <row r="18" spans="1:17" x14ac:dyDescent="0.25">
      <c r="A18" t="s">
        <v>76</v>
      </c>
      <c r="B18" t="s">
        <v>67</v>
      </c>
      <c r="C18" t="s">
        <v>77</v>
      </c>
      <c r="D18">
        <v>160</v>
      </c>
      <c r="E18">
        <v>15</v>
      </c>
      <c r="F18" t="s">
        <v>28</v>
      </c>
      <c r="I18">
        <v>20</v>
      </c>
      <c r="J18" t="s">
        <v>127</v>
      </c>
      <c r="K18" s="16">
        <f>DATE(2026,MONTH(MID(Sheet2!A18,4,3)&amp;"1"),LEFT(Sheet2!A18,2))</f>
        <v>46254</v>
      </c>
      <c r="L18" t="b">
        <f xml:space="preserve"> ISBLANK(Table1[[#This Row],[PRICE]])</f>
        <v>0</v>
      </c>
      <c r="M18" t="s">
        <v>67</v>
      </c>
      <c r="N18" t="str">
        <f t="shared" si="0"/>
        <v>Huawei Smartwatch</v>
      </c>
      <c r="O18" t="s">
        <v>28</v>
      </c>
      <c r="P18" s="14">
        <v>160</v>
      </c>
      <c r="Q18">
        <f>IF(ISBLANK(Table1[[#This Row],[PRICE]]),MEDIAN(Table1[PRICE]),Table1[[#This Row],[PRICE]])</f>
        <v>160</v>
      </c>
    </row>
    <row r="19" spans="1:17" x14ac:dyDescent="0.25">
      <c r="A19" t="s">
        <v>78</v>
      </c>
      <c r="B19" t="s">
        <v>26</v>
      </c>
      <c r="C19" t="s">
        <v>79</v>
      </c>
      <c r="D19">
        <v>980</v>
      </c>
      <c r="E19">
        <v>10</v>
      </c>
      <c r="F19" t="s">
        <v>28</v>
      </c>
      <c r="I19">
        <v>27</v>
      </c>
      <c r="J19" t="s">
        <v>128</v>
      </c>
      <c r="K19" s="16">
        <f>DATE(2026,MONTH(MID(Sheet2!A19,4,3)&amp;"1"),LEFT(Sheet2!A19,2))</f>
        <v>46049</v>
      </c>
      <c r="L19" t="b">
        <f xml:space="preserve"> ISBLANK(Table1[[#This Row],[PRICE]])</f>
        <v>0</v>
      </c>
      <c r="M19" t="s">
        <v>61</v>
      </c>
      <c r="N19" t="str">
        <f t="shared" si="0"/>
        <v>Asus Laptop</v>
      </c>
      <c r="O19" t="s">
        <v>28</v>
      </c>
      <c r="P19" s="14">
        <v>980</v>
      </c>
      <c r="Q19">
        <f>IF(ISBLANK(Table1[[#This Row],[PRICE]]),MEDIAN(Table1[PRICE]),Table1[[#This Row],[PRICE]])</f>
        <v>980</v>
      </c>
    </row>
    <row r="20" spans="1:17" x14ac:dyDescent="0.25">
      <c r="A20" t="s">
        <v>80</v>
      </c>
      <c r="B20" t="s">
        <v>81</v>
      </c>
      <c r="C20" t="s">
        <v>82</v>
      </c>
      <c r="D20">
        <v>150</v>
      </c>
      <c r="E20">
        <v>15</v>
      </c>
      <c r="F20" t="s">
        <v>32</v>
      </c>
      <c r="I20">
        <v>1</v>
      </c>
      <c r="J20" t="s">
        <v>121</v>
      </c>
      <c r="K20" s="16">
        <f>DATE(2026,MONTH(MID(Sheet2!A20,4,3)&amp;"1"),LEFT(Sheet2!A20,2))</f>
        <v>46082</v>
      </c>
      <c r="L20" t="b">
        <f xml:space="preserve"> ISBLANK(Table1[[#This Row],[PRICE]])</f>
        <v>0</v>
      </c>
      <c r="M20" t="s">
        <v>81</v>
      </c>
      <c r="N20" t="str">
        <f t="shared" si="0"/>
        <v>Oakley Sunglasses</v>
      </c>
      <c r="O20" t="s">
        <v>32</v>
      </c>
      <c r="P20" s="14">
        <v>150</v>
      </c>
      <c r="Q20">
        <f>IF(ISBLANK(Table1[[#This Row],[PRICE]]),MEDIAN(Table1[PRICE]),Table1[[#This Row],[PRICE]])</f>
        <v>150</v>
      </c>
    </row>
    <row r="21" spans="1:17" x14ac:dyDescent="0.25">
      <c r="A21" t="s">
        <v>83</v>
      </c>
      <c r="B21" t="s">
        <v>84</v>
      </c>
      <c r="C21" t="s">
        <v>85</v>
      </c>
      <c r="E21">
        <v>10</v>
      </c>
      <c r="F21" t="s">
        <v>59</v>
      </c>
      <c r="I21">
        <v>14</v>
      </c>
      <c r="J21" t="s">
        <v>120</v>
      </c>
      <c r="K21" s="16">
        <f>DATE(2026,MONTH(MID(Sheet2!A21,4,3)&amp;"1"),LEFT(Sheet2!A21,2))</f>
        <v>46248</v>
      </c>
      <c r="L21" t="b">
        <f xml:space="preserve"> ISBLANK(Table1[[#This Row],[PRICE]])</f>
        <v>1</v>
      </c>
      <c r="M21" t="s">
        <v>84</v>
      </c>
      <c r="N21" t="str">
        <f t="shared" si="0"/>
        <v>Coleman Camping Tent</v>
      </c>
      <c r="O21" t="s">
        <v>59</v>
      </c>
      <c r="P21" s="14"/>
      <c r="Q21">
        <f>IF(ISBLANK(Table1[[#This Row],[PRICE]]),MEDIAN(Table1[PRICE]),Table1[[#This Row],[PRICE]])</f>
        <v>130</v>
      </c>
    </row>
    <row r="22" spans="1:17" x14ac:dyDescent="0.25">
      <c r="A22" t="s">
        <v>86</v>
      </c>
      <c r="B22" t="s">
        <v>87</v>
      </c>
      <c r="C22" t="s">
        <v>88</v>
      </c>
      <c r="D22">
        <v>700</v>
      </c>
      <c r="E22">
        <v>50</v>
      </c>
      <c r="F22" t="s">
        <v>28</v>
      </c>
      <c r="I22">
        <v>14</v>
      </c>
      <c r="J22" t="s">
        <v>129</v>
      </c>
      <c r="K22" s="16">
        <f>DATE(2026,MONTH(MID(Sheet2!A22,4,3)&amp;"1"),LEFT(Sheet2!A22,2))</f>
        <v>46156</v>
      </c>
      <c r="L22" t="b">
        <f xml:space="preserve"> ISBLANK(Table1[[#This Row],[PRICE]])</f>
        <v>0</v>
      </c>
      <c r="M22" t="s">
        <v>87</v>
      </c>
      <c r="N22" t="str">
        <f t="shared" si="0"/>
        <v>Nikon Camera</v>
      </c>
      <c r="O22" t="s">
        <v>28</v>
      </c>
      <c r="P22" s="14">
        <v>700</v>
      </c>
      <c r="Q22">
        <f>IF(ISBLANK(Table1[[#This Row],[PRICE]]),MEDIAN(Table1[PRICE]),Table1[[#This Row],[PRICE]])</f>
        <v>700</v>
      </c>
    </row>
    <row r="23" spans="1:17" x14ac:dyDescent="0.25">
      <c r="A23" t="s">
        <v>89</v>
      </c>
      <c r="B23" t="s">
        <v>90</v>
      </c>
      <c r="C23" t="s">
        <v>91</v>
      </c>
      <c r="D23">
        <v>80</v>
      </c>
      <c r="E23">
        <v>20</v>
      </c>
      <c r="F23" t="s">
        <v>36</v>
      </c>
      <c r="I23">
        <v>9</v>
      </c>
      <c r="J23" t="s">
        <v>125</v>
      </c>
      <c r="K23" s="16">
        <f>DATE(2026,MONTH(MID(Sheet2!A23,4,3)&amp;"1"),LEFT(Sheet2!A23,2))</f>
        <v>46031</v>
      </c>
      <c r="L23" t="b">
        <f xml:space="preserve"> ISBLANK(Table1[[#This Row],[PRICE]])</f>
        <v>0</v>
      </c>
      <c r="M23" t="s">
        <v>90</v>
      </c>
      <c r="N23" t="str">
        <f t="shared" si="0"/>
        <v>Panasonic Microwave</v>
      </c>
      <c r="O23" t="s">
        <v>36</v>
      </c>
      <c r="P23" s="14">
        <v>80</v>
      </c>
      <c r="Q23">
        <f>IF(ISBLANK(Table1[[#This Row],[PRICE]]),MEDIAN(Table1[PRICE]),Table1[[#This Row],[PRICE]])</f>
        <v>80</v>
      </c>
    </row>
    <row r="24" spans="1:17" x14ac:dyDescent="0.25">
      <c r="A24" t="s">
        <v>92</v>
      </c>
      <c r="B24" t="s">
        <v>93</v>
      </c>
      <c r="C24" t="s">
        <v>94</v>
      </c>
      <c r="D24">
        <v>150</v>
      </c>
      <c r="E24">
        <v>30</v>
      </c>
      <c r="I24">
        <v>19</v>
      </c>
      <c r="J24" t="s">
        <v>130</v>
      </c>
      <c r="K24" s="16">
        <f>DATE(2026,MONTH(MID(Sheet2!A24,4,3)&amp;"1"),LEFT(Sheet2!A24,2))</f>
        <v>46222</v>
      </c>
      <c r="L24" t="b">
        <f xml:space="preserve"> ISBLANK(Table1[[#This Row],[PRICE]])</f>
        <v>0</v>
      </c>
      <c r="M24" t="s">
        <v>93</v>
      </c>
      <c r="N24" t="str">
        <f t="shared" si="0"/>
        <v>Xiaomi Fitness Tracker</v>
      </c>
      <c r="O24" t="s">
        <v>118</v>
      </c>
      <c r="P24" s="14">
        <v>150</v>
      </c>
      <c r="Q24">
        <f>IF(ISBLANK(Table1[[#This Row],[PRICE]]),MEDIAN(Table1[PRICE]),Table1[[#This Row],[PRICE]])</f>
        <v>150</v>
      </c>
    </row>
    <row r="25" spans="1:17" x14ac:dyDescent="0.25">
      <c r="A25" t="s">
        <v>95</v>
      </c>
      <c r="B25" t="s">
        <v>96</v>
      </c>
      <c r="C25" t="s">
        <v>97</v>
      </c>
      <c r="D25">
        <v>800</v>
      </c>
      <c r="E25">
        <v>45</v>
      </c>
      <c r="F25" t="s">
        <v>28</v>
      </c>
      <c r="I25">
        <v>29</v>
      </c>
      <c r="J25" t="s">
        <v>125</v>
      </c>
      <c r="K25" s="16">
        <f>DATE(2026,MONTH(MID(Sheet2!A25,4,3)&amp;"1"),LEFT(Sheet2!A25,2))</f>
        <v>46294</v>
      </c>
      <c r="L25" t="b">
        <f xml:space="preserve"> ISBLANK(Table1[[#This Row],[PRICE]])</f>
        <v>0</v>
      </c>
      <c r="M25" t="s">
        <v>96</v>
      </c>
      <c r="N25" t="str">
        <f t="shared" si="0"/>
        <v>Google Smartphone</v>
      </c>
      <c r="O25" t="s">
        <v>28</v>
      </c>
      <c r="P25" s="14">
        <v>800</v>
      </c>
      <c r="Q25">
        <f>IF(ISBLANK(Table1[[#This Row],[PRICE]]),MEDIAN(Table1[PRICE]),Table1[[#This Row],[PRICE]])</f>
        <v>800</v>
      </c>
    </row>
    <row r="26" spans="1:17" x14ac:dyDescent="0.25">
      <c r="A26" t="s">
        <v>98</v>
      </c>
      <c r="B26" t="s">
        <v>81</v>
      </c>
      <c r="C26" t="s">
        <v>99</v>
      </c>
      <c r="E26">
        <v>25</v>
      </c>
      <c r="F26" t="s">
        <v>32</v>
      </c>
      <c r="I26">
        <v>3</v>
      </c>
      <c r="J26" t="s">
        <v>125</v>
      </c>
      <c r="K26" s="16">
        <f>DATE(2026,MONTH(MID(Sheet2!A26,4,3)&amp;"1"),LEFT(Sheet2!A26,2))</f>
        <v>46176</v>
      </c>
      <c r="L26" t="b">
        <f xml:space="preserve"> ISBLANK(Table1[[#This Row],[PRICE]])</f>
        <v>1</v>
      </c>
      <c r="M26" t="s">
        <v>81</v>
      </c>
      <c r="N26" t="str">
        <f t="shared" si="0"/>
        <v>Ray-Ban Sunglasses</v>
      </c>
      <c r="O26" t="s">
        <v>32</v>
      </c>
      <c r="P26" s="14"/>
      <c r="Q26">
        <f>IF(ISBLANK(Table1[[#This Row],[PRICE]]),MEDIAN(Table1[PRICE]),Table1[[#This Row],[PRICE]])</f>
        <v>130</v>
      </c>
    </row>
    <row r="27" spans="1:17" x14ac:dyDescent="0.25">
      <c r="A27" t="s">
        <v>100</v>
      </c>
      <c r="B27" t="s">
        <v>51</v>
      </c>
      <c r="C27" t="s">
        <v>101</v>
      </c>
      <c r="D27">
        <v>400</v>
      </c>
      <c r="E27">
        <v>40</v>
      </c>
      <c r="F27" t="s">
        <v>36</v>
      </c>
      <c r="I27">
        <v>11</v>
      </c>
      <c r="J27" t="s">
        <v>125</v>
      </c>
      <c r="K27" s="16">
        <f>DATE(2026,MONTH(MID(Sheet2!A27,4,3)&amp;"1"),LEFT(Sheet2!A27,2))</f>
        <v>46214</v>
      </c>
      <c r="L27" t="b">
        <f xml:space="preserve"> ISBLANK(Table1[[#This Row],[PRICE]])</f>
        <v>0</v>
      </c>
      <c r="M27" t="s">
        <v>51</v>
      </c>
      <c r="N27" t="str">
        <f t="shared" si="0"/>
        <v>Vitamix Blender</v>
      </c>
      <c r="O27" t="s">
        <v>36</v>
      </c>
      <c r="P27" s="14">
        <v>400</v>
      </c>
      <c r="Q27">
        <f>IF(ISBLANK(Table1[[#This Row],[PRICE]]),MEDIAN(Table1[PRICE]),Table1[[#This Row],[PRICE]])</f>
        <v>400</v>
      </c>
    </row>
    <row r="28" spans="1:17" x14ac:dyDescent="0.25">
      <c r="A28" t="s">
        <v>102</v>
      </c>
      <c r="B28" t="s">
        <v>103</v>
      </c>
      <c r="C28" t="s">
        <v>104</v>
      </c>
      <c r="D28">
        <v>60</v>
      </c>
      <c r="E28">
        <v>30</v>
      </c>
      <c r="F28" t="s">
        <v>32</v>
      </c>
      <c r="I28">
        <v>7</v>
      </c>
      <c r="J28" t="s">
        <v>125</v>
      </c>
      <c r="K28" s="16">
        <f>DATE(2026,MONTH(MID(Sheet2!A28,4,3)&amp;"1"),LEFT(Sheet2!A28,2))</f>
        <v>46088</v>
      </c>
      <c r="L28" t="b">
        <f xml:space="preserve"> ISBLANK(Table1[[#This Row],[PRICE]])</f>
        <v>0</v>
      </c>
      <c r="M28" t="s">
        <v>103</v>
      </c>
      <c r="N28" t="str">
        <f t="shared" si="0"/>
        <v>Zara Dress</v>
      </c>
      <c r="O28" t="s">
        <v>32</v>
      </c>
      <c r="P28" s="14">
        <v>60</v>
      </c>
      <c r="Q28">
        <f>IF(ISBLANK(Table1[[#This Row],[PRICE]]),MEDIAN(Table1[PRICE]),Table1[[#This Row],[PRICE]])</f>
        <v>60</v>
      </c>
    </row>
    <row r="29" spans="1:17" x14ac:dyDescent="0.25">
      <c r="A29" t="s">
        <v>105</v>
      </c>
      <c r="B29" t="s">
        <v>106</v>
      </c>
      <c r="C29" t="s">
        <v>107</v>
      </c>
      <c r="D29">
        <v>40</v>
      </c>
      <c r="E29">
        <v>10</v>
      </c>
      <c r="F29" t="s">
        <v>36</v>
      </c>
      <c r="I29">
        <v>13</v>
      </c>
      <c r="J29" t="s">
        <v>125</v>
      </c>
      <c r="K29" s="16">
        <f>DATE(2026,MONTH(MID(Sheet2!A29,4,3)&amp;"1"),LEFT(Sheet2!A29,2))</f>
        <v>46125</v>
      </c>
      <c r="L29" t="b">
        <f xml:space="preserve"> ISBLANK(Table1[[#This Row],[PRICE]])</f>
        <v>0</v>
      </c>
      <c r="M29" t="s">
        <v>106</v>
      </c>
      <c r="N29" t="str">
        <f t="shared" si="0"/>
        <v>Hamilton Toaster</v>
      </c>
      <c r="O29" t="s">
        <v>36</v>
      </c>
      <c r="P29" s="14">
        <v>40</v>
      </c>
      <c r="Q29">
        <f>IF(ISBLANK(Table1[[#This Row],[PRICE]]),MEDIAN(Table1[PRICE]),Table1[[#This Row],[PRICE]])</f>
        <v>40</v>
      </c>
    </row>
    <row r="30" spans="1:17" x14ac:dyDescent="0.25">
      <c r="A30" t="s">
        <v>108</v>
      </c>
      <c r="B30" t="s">
        <v>93</v>
      </c>
      <c r="C30" t="s">
        <v>109</v>
      </c>
      <c r="D30">
        <v>130</v>
      </c>
      <c r="E30">
        <v>5</v>
      </c>
      <c r="F30" t="s">
        <v>28</v>
      </c>
      <c r="I30">
        <v>24</v>
      </c>
      <c r="J30" t="s">
        <v>125</v>
      </c>
      <c r="K30" s="16">
        <f>DATE(2026,MONTH(MID(Sheet2!A30,4,3)&amp;"1"),LEFT(Sheet2!A30,2))</f>
        <v>46166</v>
      </c>
      <c r="L30" t="b">
        <f xml:space="preserve"> ISBLANK(Table1[[#This Row],[PRICE]])</f>
        <v>0</v>
      </c>
      <c r="M30" t="s">
        <v>93</v>
      </c>
      <c r="N30" t="str">
        <f t="shared" si="0"/>
        <v>Garmin Fitness Tracker</v>
      </c>
      <c r="O30" t="s">
        <v>28</v>
      </c>
      <c r="P30" s="14">
        <v>130</v>
      </c>
      <c r="Q30">
        <f>IF(ISBLANK(Table1[[#This Row],[PRICE]]),MEDIAN(Table1[PRICE]),Table1[[#This Row],[PRICE]])</f>
        <v>130</v>
      </c>
    </row>
    <row r="31" spans="1:17" x14ac:dyDescent="0.25">
      <c r="A31" t="s">
        <v>110</v>
      </c>
      <c r="B31" t="s">
        <v>111</v>
      </c>
      <c r="C31" t="s">
        <v>112</v>
      </c>
      <c r="D31">
        <v>50</v>
      </c>
      <c r="E31">
        <v>50</v>
      </c>
      <c r="F31" t="s">
        <v>32</v>
      </c>
      <c r="I31">
        <v>2</v>
      </c>
      <c r="J31" t="s">
        <v>125</v>
      </c>
      <c r="K31" s="16">
        <f>DATE(2026,MONTH(MID(Sheet2!A31,4,3)&amp;"1"),LEFT(Sheet2!A31,2))</f>
        <v>46358</v>
      </c>
      <c r="L31" t="b">
        <f xml:space="preserve"> ISBLANK(Table1[[#This Row],[PRICE]])</f>
        <v>0</v>
      </c>
      <c r="M31" t="s">
        <v>111</v>
      </c>
      <c r="N31" t="str">
        <f t="shared" si="0"/>
        <v>Levi's Jeans</v>
      </c>
      <c r="O31" t="s">
        <v>32</v>
      </c>
      <c r="P31" s="14">
        <v>50</v>
      </c>
      <c r="Q31">
        <f>IF(ISBLANK(Table1[[#This Row],[PRICE]]),MEDIAN(Table1[PRICE]),Table1[[#This Row],[PRICE]])</f>
        <v>50</v>
      </c>
    </row>
    <row r="32" spans="1:17" x14ac:dyDescent="0.25">
      <c r="A32" t="s">
        <v>113</v>
      </c>
      <c r="B32" t="s">
        <v>114</v>
      </c>
      <c r="C32" t="s">
        <v>115</v>
      </c>
      <c r="D32">
        <v>100</v>
      </c>
      <c r="E32">
        <v>20</v>
      </c>
      <c r="F32" t="s">
        <v>75</v>
      </c>
      <c r="I32">
        <v>9</v>
      </c>
      <c r="J32" t="s">
        <v>131</v>
      </c>
      <c r="K32" s="16">
        <f>DATE(2026,MONTH(MID(Sheet2!A32,4,3)&amp;"1"),LEFT(Sheet2!A32,2))</f>
        <v>46212</v>
      </c>
      <c r="L32" t="b">
        <f xml:space="preserve"> ISBLANK(Table1[[#This Row],[PRICE]])</f>
        <v>0</v>
      </c>
      <c r="M32" t="s">
        <v>114</v>
      </c>
      <c r="N32" t="str">
        <f t="shared" si="0"/>
        <v>Casio Watch</v>
      </c>
      <c r="O32" t="s">
        <v>75</v>
      </c>
      <c r="P32" s="14">
        <v>100</v>
      </c>
      <c r="Q32">
        <f>IF(ISBLANK(Table1[[#This Row],[PRICE]]),MEDIAN(Table1[PRICE]),Table1[[#This Row],[PRICE]])</f>
        <v>100</v>
      </c>
    </row>
    <row r="37" spans="10:11" ht="24.6" x14ac:dyDescent="0.4">
      <c r="J37" s="20" t="s">
        <v>133</v>
      </c>
      <c r="K37" s="21">
        <f xml:space="preserve"> MEDIAN(D2:D32)</f>
        <v>130</v>
      </c>
    </row>
  </sheetData>
  <conditionalFormatting sqref="O2">
    <cfRule type="containsText" dxfId="0" priority="1" operator="containsText" text="Electronics">
      <formula>NOT(ISERROR(SEARCH("Electronics",O2)))</formula>
    </cfRule>
  </conditionalFormatting>
  <conditionalFormatting sqref="P1:P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{49643AF8-2300-4506-902D-041728B53D71}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90320F9-B4D4-445A-8129-20AAEBA505F7}">
            <xm:f>NOT(ISERROR(SEARCH($O$2,O1)))</xm:f>
            <xm:f>$O$2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O1:O1048576</xm:sqref>
        </x14:conditionalFormatting>
        <x14:conditionalFormatting xmlns:xm="http://schemas.microsoft.com/office/excel/2006/main">
          <x14:cfRule type="dataBar" id="{49643AF8-2300-4506-902D-041728B53D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ashith</dc:creator>
  <cp:lastModifiedBy>ashith hariharan</cp:lastModifiedBy>
  <dcterms:created xsi:type="dcterms:W3CDTF">2026-09-22T17:38:09Z</dcterms:created>
  <dcterms:modified xsi:type="dcterms:W3CDTF">2026-09-22T17:38:09Z</dcterms:modified>
</cp:coreProperties>
</file>